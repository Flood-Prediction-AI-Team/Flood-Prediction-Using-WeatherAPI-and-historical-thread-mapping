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/>
  <xr:revisionPtr revIDLastSave="252" documentId="11_A073C08B7411BD65983420BBC503926BA8CA016F" xr6:coauthVersionLast="47" xr6:coauthVersionMax="47" xr10:uidLastSave="{6F056ABE-F7E7-49E3-A1DB-ECF1994D2DFF}"/>
  <bookViews>
    <workbookView xWindow="-108" yWindow="-108" windowWidth="23256" windowHeight="13176" xr2:uid="{00000000-000D-0000-FFFF-FFFF00000000}"/>
  </bookViews>
  <sheets>
    <sheet name="ProjectSchedule" sheetId="1" r:id="rId1"/>
  </sheets>
  <definedNames>
    <definedName name="_xlnm.Print_Titles" localSheetId="0">ProjectSchedule!$4:$6</definedName>
    <definedName name="task_end" localSheetId="0">ProjectSchedule!$F1</definedName>
    <definedName name="task_progress" localSheetId="0">ProjectSchedule!$D1</definedName>
    <definedName name="task_start" localSheetId="0">ProjectSchedule!$E1</definedName>
    <definedName name="today" localSheetId="0">ProjectSchedule!$E$3</definedName>
    <definedName name="valuevx">42.314159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5" i="1"/>
  <c r="H14" i="1"/>
  <c r="H13" i="1"/>
  <c r="H12" i="1"/>
  <c r="H11" i="1"/>
  <c r="H9" i="1"/>
  <c r="H8" i="1"/>
  <c r="H7" i="1"/>
  <c r="I5" i="1"/>
  <c r="I4" i="1"/>
  <c r="I6" i="1" l="1"/>
  <c r="J5" i="1"/>
  <c r="J6" i="1" l="1"/>
  <c r="K5" i="1"/>
  <c r="K6" i="1" l="1"/>
  <c r="L5" i="1"/>
  <c r="L6" i="1" l="1"/>
  <c r="M5" i="1"/>
  <c r="M6" i="1" l="1"/>
  <c r="N5" i="1"/>
  <c r="N6" i="1" l="1"/>
  <c r="O5" i="1"/>
  <c r="O6" i="1" l="1"/>
  <c r="P5" i="1"/>
  <c r="P6" i="1" l="1"/>
  <c r="Q5" i="1"/>
  <c r="P4" i="1"/>
  <c r="Q6" i="1" l="1"/>
  <c r="R5" i="1"/>
  <c r="R6" i="1" l="1"/>
  <c r="S5" i="1"/>
  <c r="S6" i="1" l="1"/>
  <c r="T5" i="1"/>
  <c r="T6" i="1" l="1"/>
  <c r="U5" i="1"/>
  <c r="U6" i="1" l="1"/>
  <c r="V5" i="1"/>
  <c r="V6" i="1" l="1"/>
  <c r="W5" i="1"/>
  <c r="W6" i="1" l="1"/>
  <c r="X5" i="1"/>
  <c r="W4" i="1"/>
  <c r="X6" i="1" l="1"/>
  <c r="Y5" i="1"/>
  <c r="Y6" i="1" l="1"/>
  <c r="Z5" i="1"/>
  <c r="Z6" i="1" l="1"/>
  <c r="AA5" i="1"/>
  <c r="AA6" i="1" l="1"/>
  <c r="AB5" i="1"/>
  <c r="AB6" i="1" l="1"/>
  <c r="AC5" i="1"/>
  <c r="AC6" i="1" l="1"/>
  <c r="AD5" i="1"/>
  <c r="AD6" i="1" l="1"/>
  <c r="AE5" i="1"/>
  <c r="AD4" i="1"/>
  <c r="AE6" i="1" l="1"/>
  <c r="AF5" i="1"/>
  <c r="AF6" i="1" l="1"/>
  <c r="AG5" i="1"/>
  <c r="AG6" i="1" l="1"/>
  <c r="AH5" i="1"/>
  <c r="AH6" i="1" l="1"/>
  <c r="AI5" i="1"/>
  <c r="AI6" i="1" l="1"/>
  <c r="AJ5" i="1"/>
  <c r="AJ6" i="1" l="1"/>
  <c r="AK5" i="1"/>
  <c r="AK6" i="1" l="1"/>
  <c r="AL5" i="1"/>
  <c r="AK4" i="1"/>
  <c r="AL6" i="1" l="1"/>
  <c r="AM5" i="1"/>
  <c r="AM6" i="1" l="1"/>
  <c r="AN5" i="1"/>
  <c r="AN6" i="1" l="1"/>
  <c r="AO5" i="1"/>
  <c r="AO6" i="1" l="1"/>
  <c r="AP5" i="1"/>
  <c r="AP6" i="1" l="1"/>
  <c r="AQ5" i="1"/>
  <c r="AQ6" i="1" l="1"/>
  <c r="AR5" i="1"/>
  <c r="AR6" i="1" l="1"/>
  <c r="AS5" i="1"/>
  <c r="AR4" i="1"/>
  <c r="AS6" i="1" l="1"/>
  <c r="AT5" i="1"/>
  <c r="AT6" i="1" l="1"/>
  <c r="AU5" i="1"/>
  <c r="AU6" i="1" l="1"/>
  <c r="AV5" i="1"/>
  <c r="AV6" i="1" l="1"/>
  <c r="AW5" i="1"/>
  <c r="AW6" i="1" l="1"/>
  <c r="AX5" i="1"/>
  <c r="AX6" i="1" l="1"/>
  <c r="AY5" i="1"/>
  <c r="AY6" i="1" l="1"/>
  <c r="AZ5" i="1"/>
  <c r="AY4" i="1"/>
  <c r="AZ6" i="1" l="1"/>
  <c r="BA5" i="1"/>
  <c r="BA6" i="1" l="1"/>
  <c r="BB5" i="1"/>
  <c r="BB6" i="1" l="1"/>
  <c r="BC5" i="1"/>
  <c r="BC6" i="1" l="1"/>
  <c r="BD5" i="1"/>
  <c r="BD6" i="1" l="1"/>
  <c r="BE5" i="1"/>
  <c r="BE6" i="1" l="1"/>
  <c r="BF5" i="1"/>
  <c r="BF6" i="1" l="1"/>
  <c r="BG5" i="1"/>
  <c r="BF4" i="1"/>
  <c r="BG6" i="1" l="1"/>
  <c r="BH5" i="1"/>
  <c r="BH6" i="1" l="1"/>
  <c r="BI5" i="1"/>
  <c r="BI6" i="1" l="1"/>
  <c r="BJ5" i="1"/>
  <c r="BJ6" i="1" l="1"/>
  <c r="BK5" i="1"/>
  <c r="BK6" i="1" l="1"/>
  <c r="BL5" i="1"/>
  <c r="BL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H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DAYS: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<sst xmlns="http://schemas.openxmlformats.org/spreadsheetml/2006/main" count="63" uniqueCount="43">
  <si>
    <t>Flood-Prediction-Using-WeatherAPI-and-historical-thread-mapping</t>
  </si>
  <si>
    <t>TIET Patiala - UCS503 Software Engineering</t>
  </si>
  <si>
    <t>Project Start:</t>
  </si>
  <si>
    <t>Project Lead: Amit Bishnoi (Roll No: 1024240005)</t>
  </si>
  <si>
    <t>Today:</t>
  </si>
  <si>
    <t>Display Week:</t>
  </si>
  <si>
    <t>TASK</t>
  </si>
  <si>
    <t>ASSIGNED
TO</t>
  </si>
  <si>
    <t>PROGRESS</t>
  </si>
  <si>
    <t>START</t>
  </si>
  <si>
    <t>END</t>
  </si>
  <si>
    <t>DAYS</t>
  </si>
  <si>
    <t>Phase 1: Inception, Planning &amp; Documentation</t>
  </si>
  <si>
    <t>Project Conception &amp; Scoping</t>
  </si>
  <si>
    <t>Amit Bishnoi</t>
  </si>
  <si>
    <t>Core idea of fusing live meteorological data with historical disaster records</t>
  </si>
  <si>
    <t>Amit &amp; Diksha</t>
  </si>
  <si>
    <t>Team Roles &amp; Repository Initialization</t>
  </si>
  <si>
    <t>MkDocs &amp; GitHub Pages Configuration</t>
  </si>
  <si>
    <t>Phase 2: System Architecture &amp; Technical Design</t>
  </si>
  <si>
    <t>Academic Proposal Drafting (LaTeX)</t>
  </si>
  <si>
    <t>Diksha Garg</t>
  </si>
  <si>
    <t>Pitch Slide Deck Design</t>
  </si>
  <si>
    <t>UML Use Case Design</t>
  </si>
  <si>
    <t>Data Flow Diagram (DFD) Modeling</t>
  </si>
  <si>
    <t>Entity-Relationship (ER) Architecture</t>
  </si>
  <si>
    <t>Activity Diagram</t>
  </si>
  <si>
    <t>Phase 3: Data Engineering &amp; Spatial Prototyping</t>
  </si>
  <si>
    <t>Historical Data Ingestion &amp; Collection</t>
  </si>
  <si>
    <t>Data Cleaning &amp; Standardization</t>
  </si>
  <si>
    <t>Dataset Merging (Fused Database)</t>
  </si>
  <si>
    <t>Spatial Indexing &amp; Haversine Math</t>
  </si>
  <si>
    <t>Phase 4: Machine Learning &amp; Backend Development</t>
  </si>
  <si>
    <t>Feature Engineering Pipeline</t>
  </si>
  <si>
    <t>Machine Learning Model Training</t>
  </si>
  <si>
    <t>Synthetic Overlapping Data Generation</t>
  </si>
  <si>
    <t>Flask Server &amp; API Routing</t>
  </si>
  <si>
    <t>Mock Weather Fallback System</t>
  </si>
  <si>
    <t>Phase 5: Frontend Integration &amp; Final Documentation</t>
  </si>
  <si>
    <t>Frontend UI Dashboard Layout</t>
  </si>
  <si>
    <t>Leaflet.js Mapping Integration</t>
  </si>
  <si>
    <t>Gantt Chart Milestone Planning</t>
  </si>
  <si>
    <t>Progress Journal Authoring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</si>
</sst>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"/>
    <numFmt numFmtId="165" formatCode="m/d/yy;@"/>
    <numFmt numFmtId="166" formatCode="mmm\ d\,\ yyyy"/>
    <numFmt numFmtId="167" formatCode="ddd\,\ m/d/yyyy"/>
  </numFmts>
  <fonts count="19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sz val="10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 tint="0.499984740745262"/>
      <name val="Arial"/>
      <family val="2"/>
    </font>
    <font>
      <u/>
      <sz val="9"/>
      <color theme="4" tint="-0.249977111117893"/>
      <name val="Arial"/>
      <family val="2"/>
    </font>
    <font>
      <b/>
      <sz val="16"/>
      <color rgb="FF1F497D"/>
      <name val="Calibri"/>
    </font>
    <font>
      <b/>
      <sz val="11"/>
      <color rgb="FF333333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</fills>
  <borders count="11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0691854609822"/>
      </bottom>
      <diagonal/>
    </border>
    <border>
      <left style="thin">
        <color theme="0" tint="-0.1498764000366222"/>
      </left>
      <right style="thin">
        <color theme="0" tint="-0.14987640003662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>
      <alignment vertical="top"/>
      <protection locked="0"/>
    </xf>
    <xf numFmtId="9" fontId="8" fillId="0" borderId="0"/>
  </cellStyleXfs>
  <cellXfs count="8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15" borderId="1" xfId="0" applyFont="1" applyFill="1" applyBorder="1" applyAlignment="1">
      <alignment horizontal="left" vertical="center" indent="1"/>
    </xf>
    <xf numFmtId="0" fontId="5" fillId="15" borderId="1" xfId="0" applyFont="1" applyFill="1" applyBorder="1" applyAlignment="1">
      <alignment horizontal="center" vertical="center" wrapText="1"/>
    </xf>
    <xf numFmtId="164" fontId="9" fillId="8" borderId="0" xfId="0" applyNumberFormat="1" applyFont="1" applyFill="1" applyAlignment="1">
      <alignment horizontal="center" vertical="center"/>
    </xf>
    <xf numFmtId="164" fontId="9" fillId="8" borderId="6" xfId="0" applyNumberFormat="1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 shrinkToFit="1"/>
    </xf>
    <xf numFmtId="0" fontId="11" fillId="0" borderId="0" xfId="0" applyFont="1"/>
    <xf numFmtId="0" fontId="12" fillId="0" borderId="0" xfId="1" applyFont="1" applyAlignment="1" applyProtection="1"/>
    <xf numFmtId="0" fontId="13" fillId="0" borderId="0" xfId="0" applyFont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9" fontId="3" fillId="0" borderId="2" xfId="2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3" fillId="9" borderId="2" xfId="2" applyFont="1" applyFill="1" applyBorder="1" applyAlignment="1">
      <alignment horizontal="center" vertical="center"/>
    </xf>
    <xf numFmtId="165" fontId="0" fillId="9" borderId="2" xfId="0" applyNumberFormat="1" applyFill="1" applyBorder="1" applyAlignment="1">
      <alignment horizontal="center" vertical="center"/>
    </xf>
    <xf numFmtId="165" fontId="3" fillId="9" borderId="2" xfId="0" applyNumberFormat="1" applyFont="1" applyFill="1" applyBorder="1" applyAlignment="1">
      <alignment horizontal="center" vertical="center"/>
    </xf>
    <xf numFmtId="9" fontId="3" fillId="3" borderId="2" xfId="2" applyFon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9" fontId="3" fillId="10" borderId="2" xfId="2" applyFont="1" applyFill="1" applyBorder="1" applyAlignment="1">
      <alignment horizontal="center" vertical="center"/>
    </xf>
    <xf numFmtId="165" fontId="0" fillId="10" borderId="2" xfId="0" applyNumberFormat="1" applyFill="1" applyBorder="1" applyAlignment="1">
      <alignment horizontal="center" vertical="center"/>
    </xf>
    <xf numFmtId="165" fontId="3" fillId="10" borderId="2" xfId="0" applyNumberFormat="1" applyFont="1" applyFill="1" applyBorder="1" applyAlignment="1">
      <alignment horizontal="center" vertical="center"/>
    </xf>
    <xf numFmtId="9" fontId="3" fillId="4" borderId="2" xfId="2" applyFon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9" fontId="3" fillId="6" borderId="2" xfId="2" applyFon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9" fontId="3" fillId="13" borderId="2" xfId="2" applyFont="1" applyFill="1" applyBorder="1" applyAlignment="1">
      <alignment horizontal="center" vertical="center"/>
    </xf>
    <xf numFmtId="165" fontId="0" fillId="13" borderId="2" xfId="0" applyNumberFormat="1" applyFill="1" applyBorder="1" applyAlignment="1">
      <alignment horizontal="center" vertical="center"/>
    </xf>
    <xf numFmtId="165" fontId="3" fillId="13" borderId="2" xfId="0" applyNumberFormat="1" applyFont="1" applyFill="1" applyBorder="1" applyAlignment="1">
      <alignment horizontal="center" vertical="center"/>
    </xf>
    <xf numFmtId="9" fontId="3" fillId="5" borderId="2" xfId="2" applyFon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9" fontId="3" fillId="11" borderId="2" xfId="2" applyFont="1" applyFill="1" applyBorder="1" applyAlignment="1">
      <alignment horizontal="center" vertical="center"/>
    </xf>
    <xf numFmtId="165" fontId="0" fillId="11" borderId="2" xfId="0" applyNumberFormat="1" applyFill="1" applyBorder="1" applyAlignment="1">
      <alignment horizontal="center" vertical="center"/>
    </xf>
    <xf numFmtId="165" fontId="3" fillId="11" borderId="2" xfId="0" applyNumberFormat="1" applyFont="1" applyFill="1" applyBorder="1" applyAlignment="1">
      <alignment horizontal="center" vertical="center"/>
    </xf>
    <xf numFmtId="9" fontId="3" fillId="7" borderId="2" xfId="2" applyFont="1" applyFill="1" applyBorder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center" vertical="center"/>
    </xf>
    <xf numFmtId="9" fontId="3" fillId="12" borderId="2" xfId="2" applyFont="1" applyFill="1" applyBorder="1" applyAlignment="1">
      <alignment horizontal="center" vertical="center"/>
    </xf>
    <xf numFmtId="165" fontId="0" fillId="12" borderId="2" xfId="0" applyNumberFormat="1" applyFill="1" applyBorder="1" applyAlignment="1">
      <alignment horizontal="center" vertical="center"/>
    </xf>
    <xf numFmtId="165" fontId="3" fillId="1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center" vertical="center"/>
    </xf>
    <xf numFmtId="9" fontId="3" fillId="2" borderId="2" xfId="2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0" fillId="2" borderId="9" xfId="0" applyFill="1" applyBorder="1" applyAlignment="1">
      <alignment vertical="center"/>
    </xf>
    <xf numFmtId="14" fontId="14" fillId="0" borderId="0" xfId="0" applyNumberFormat="1" applyFont="1" applyAlignment="1">
      <alignment horizontal="center"/>
    </xf>
    <xf numFmtId="0" fontId="15" fillId="0" borderId="0" xfId="0" applyFont="1"/>
    <xf numFmtId="0" fontId="15" fillId="0" borderId="0" xfId="1" applyFont="1" applyAlignment="1" applyProtection="1"/>
    <xf numFmtId="0" fontId="16" fillId="0" borderId="0" xfId="1" applyFont="1" applyAlignment="1" applyProtection="1">
      <alignment horizontal="left" vertical="center"/>
    </xf>
    <xf numFmtId="0" fontId="18" fillId="0" borderId="0" xfId="0" applyFont="1"/>
    <xf numFmtId="0" fontId="4" fillId="9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0" fillId="13" borderId="2" xfId="0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/>
    </xf>
    <xf numFmtId="166" fontId="0" fillId="8" borderId="10" xfId="0" applyNumberFormat="1" applyFill="1" applyBorder="1" applyAlignment="1">
      <alignment horizontal="left" vertical="center" wrapText="1" indent="1"/>
    </xf>
    <xf numFmtId="0" fontId="0" fillId="0" borderId="1" xfId="0" applyBorder="1" applyAlignment="1"/>
    <xf numFmtId="0" fontId="0" fillId="0" borderId="5" xfId="0" applyBorder="1" applyAlignment="1"/>
    <xf numFmtId="167" fontId="0" fillId="0" borderId="3" xfId="0" applyNumberFormat="1" applyBorder="1" applyAlignment="1">
      <alignment horizontal="center" vertical="center"/>
    </xf>
    <xf numFmtId="0" fontId="0" fillId="0" borderId="4" xfId="0" applyBorder="1" applyAlignment="1"/>
  </cellXfs>
  <cellStyles count="3">
    <cellStyle name="Hyperlink" xfId="1" builtinId="8"/>
    <cellStyle name="Normal" xfId="0" builtinId="0"/>
    <cellStyle name="Percent" xfId="2" builtinId="5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R50"/>
  <sheetViews>
    <sheetView showGridLines="0" tabSelected="1" showRuler="0" topLeftCell="A23" zoomScaleNormal="100" zoomScalePageLayoutView="70" workbookViewId="0">
      <selection activeCell="D31" sqref="D31"/>
    </sheetView>
  </sheetViews>
  <sheetFormatPr defaultRowHeight="14.45"/>
  <cols>
    <col min="1" max="1" width="3" style="74" customWidth="1"/>
    <col min="2" max="2" width="67.85546875" style="74" bestFit="1" customWidth="1"/>
    <col min="3" max="3" width="18" style="74" customWidth="1"/>
    <col min="4" max="4" width="12" style="74" customWidth="1"/>
    <col min="5" max="5" width="12" style="75" customWidth="1"/>
    <col min="6" max="6" width="12" style="74" customWidth="1"/>
    <col min="7" max="7" width="3" style="74" customWidth="1"/>
    <col min="8" max="8" width="8" style="74" hidden="1" customWidth="1"/>
    <col min="9" max="64" width="2.5703125" style="74" customWidth="1"/>
    <col min="69" max="70" width="10.28515625" style="74" customWidth="1"/>
  </cols>
  <sheetData>
    <row r="1" spans="1:68" ht="28.5" customHeight="1">
      <c r="B1" s="77" t="s">
        <v>0</v>
      </c>
      <c r="C1" s="78"/>
      <c r="D1" s="78"/>
      <c r="E1" s="79"/>
      <c r="F1" s="78"/>
      <c r="G1" s="78"/>
      <c r="H1" s="78"/>
      <c r="I1" s="4"/>
      <c r="J1" s="62"/>
      <c r="BM1" s="74"/>
      <c r="BN1" s="74"/>
      <c r="BO1" s="74"/>
      <c r="BP1" s="74"/>
    </row>
    <row r="2" spans="1:68" ht="19.5" customHeight="1">
      <c r="B2" s="63" t="s">
        <v>1</v>
      </c>
      <c r="D2" s="2" t="s">
        <v>2</v>
      </c>
      <c r="E2" s="83">
        <v>46237</v>
      </c>
      <c r="F2" s="84"/>
      <c r="BM2" s="74"/>
      <c r="BN2" s="74"/>
      <c r="BO2" s="74"/>
      <c r="BP2" s="74"/>
    </row>
    <row r="3" spans="1:68" ht="19.5" customHeight="1">
      <c r="B3" s="63" t="s">
        <v>3</v>
      </c>
      <c r="D3" s="2" t="s">
        <v>4</v>
      </c>
      <c r="E3" s="83">
        <v>46278</v>
      </c>
      <c r="F3" s="84"/>
      <c r="BM3" s="74"/>
      <c r="BN3" s="74"/>
      <c r="BO3" s="74"/>
      <c r="BP3" s="74"/>
    </row>
    <row r="4" spans="1:68" ht="19.5" customHeight="1">
      <c r="D4" s="2" t="s">
        <v>5</v>
      </c>
      <c r="E4" s="3">
        <v>1</v>
      </c>
      <c r="I4" s="80">
        <f>I5</f>
        <v>46237</v>
      </c>
      <c r="J4" s="81"/>
      <c r="K4" s="81"/>
      <c r="L4" s="81"/>
      <c r="M4" s="81"/>
      <c r="N4" s="81"/>
      <c r="O4" s="82"/>
      <c r="P4" s="80">
        <f>P5</f>
        <v>46244</v>
      </c>
      <c r="Q4" s="81"/>
      <c r="R4" s="81"/>
      <c r="S4" s="81"/>
      <c r="T4" s="81"/>
      <c r="U4" s="81"/>
      <c r="V4" s="82"/>
      <c r="W4" s="80">
        <f>W5</f>
        <v>46251</v>
      </c>
      <c r="X4" s="81"/>
      <c r="Y4" s="81"/>
      <c r="Z4" s="81"/>
      <c r="AA4" s="81"/>
      <c r="AB4" s="81"/>
      <c r="AC4" s="82"/>
      <c r="AD4" s="80">
        <f>AD5</f>
        <v>46258</v>
      </c>
      <c r="AE4" s="81"/>
      <c r="AF4" s="81"/>
      <c r="AG4" s="81"/>
      <c r="AH4" s="81"/>
      <c r="AI4" s="81"/>
      <c r="AJ4" s="82"/>
      <c r="AK4" s="80">
        <f>AK5</f>
        <v>46265</v>
      </c>
      <c r="AL4" s="81"/>
      <c r="AM4" s="81"/>
      <c r="AN4" s="81"/>
      <c r="AO4" s="81"/>
      <c r="AP4" s="81"/>
      <c r="AQ4" s="82"/>
      <c r="AR4" s="80">
        <f>AR5</f>
        <v>46272</v>
      </c>
      <c r="AS4" s="81"/>
      <c r="AT4" s="81"/>
      <c r="AU4" s="81"/>
      <c r="AV4" s="81"/>
      <c r="AW4" s="81"/>
      <c r="AX4" s="82"/>
      <c r="AY4" s="80">
        <f>AY5</f>
        <v>46279</v>
      </c>
      <c r="AZ4" s="81"/>
      <c r="BA4" s="81"/>
      <c r="BB4" s="81"/>
      <c r="BC4" s="81"/>
      <c r="BD4" s="81"/>
      <c r="BE4" s="82"/>
      <c r="BF4" s="80">
        <f>BF5</f>
        <v>46286</v>
      </c>
      <c r="BG4" s="81"/>
      <c r="BH4" s="81"/>
      <c r="BI4" s="81"/>
      <c r="BJ4" s="81"/>
      <c r="BK4" s="81"/>
      <c r="BL4" s="82"/>
      <c r="BM4" s="74"/>
      <c r="BN4" s="74"/>
      <c r="BO4" s="74"/>
      <c r="BP4" s="74"/>
    </row>
    <row r="5" spans="1:68">
      <c r="A5" s="2"/>
      <c r="E5" s="76"/>
      <c r="G5" s="2"/>
      <c r="I5" s="8">
        <f>E2-WEEKDAY(E2,1)+2+7*(E4-1)</f>
        <v>46237</v>
      </c>
      <c r="J5" s="7">
        <f>I5+1</f>
        <v>46238</v>
      </c>
      <c r="K5" s="7">
        <f>J5+1</f>
        <v>46239</v>
      </c>
      <c r="L5" s="7">
        <f>K5+1</f>
        <v>46240</v>
      </c>
      <c r="M5" s="7">
        <f>L5+1</f>
        <v>46241</v>
      </c>
      <c r="N5" s="7">
        <f>M5+1</f>
        <v>46242</v>
      </c>
      <c r="O5" s="9">
        <f>N5+1</f>
        <v>46243</v>
      </c>
      <c r="P5" s="8">
        <f>O5+1</f>
        <v>46244</v>
      </c>
      <c r="Q5" s="7">
        <f>P5+1</f>
        <v>46245</v>
      </c>
      <c r="R5" s="7">
        <f>Q5+1</f>
        <v>46246</v>
      </c>
      <c r="S5" s="7">
        <f>R5+1</f>
        <v>46247</v>
      </c>
      <c r="T5" s="7">
        <f>S5+1</f>
        <v>46248</v>
      </c>
      <c r="U5" s="7">
        <f>T5+1</f>
        <v>46249</v>
      </c>
      <c r="V5" s="9">
        <f>U5+1</f>
        <v>46250</v>
      </c>
      <c r="W5" s="8">
        <f>V5+1</f>
        <v>46251</v>
      </c>
      <c r="X5" s="7">
        <f>W5+1</f>
        <v>46252</v>
      </c>
      <c r="Y5" s="7">
        <f>X5+1</f>
        <v>46253</v>
      </c>
      <c r="Z5" s="7">
        <f>Y5+1</f>
        <v>46254</v>
      </c>
      <c r="AA5" s="7">
        <f>Z5+1</f>
        <v>46255</v>
      </c>
      <c r="AB5" s="7">
        <f>AA5+1</f>
        <v>46256</v>
      </c>
      <c r="AC5" s="9">
        <f>AB5+1</f>
        <v>46257</v>
      </c>
      <c r="AD5" s="8">
        <f>AC5+1</f>
        <v>46258</v>
      </c>
      <c r="AE5" s="7">
        <f>AD5+1</f>
        <v>46259</v>
      </c>
      <c r="AF5" s="7">
        <f>AE5+1</f>
        <v>46260</v>
      </c>
      <c r="AG5" s="7">
        <f>AF5+1</f>
        <v>46261</v>
      </c>
      <c r="AH5" s="7">
        <f>AG5+1</f>
        <v>46262</v>
      </c>
      <c r="AI5" s="7">
        <f>AH5+1</f>
        <v>46263</v>
      </c>
      <c r="AJ5" s="9">
        <f>AI5+1</f>
        <v>46264</v>
      </c>
      <c r="AK5" s="8">
        <f>AJ5+1</f>
        <v>46265</v>
      </c>
      <c r="AL5" s="7">
        <f>AK5+1</f>
        <v>46266</v>
      </c>
      <c r="AM5" s="7">
        <f>AL5+1</f>
        <v>46267</v>
      </c>
      <c r="AN5" s="7">
        <f>AM5+1</f>
        <v>46268</v>
      </c>
      <c r="AO5" s="7">
        <f>AN5+1</f>
        <v>46269</v>
      </c>
      <c r="AP5" s="7">
        <f>AO5+1</f>
        <v>46270</v>
      </c>
      <c r="AQ5" s="9">
        <f>AP5+1</f>
        <v>46271</v>
      </c>
      <c r="AR5" s="8">
        <f>AQ5+1</f>
        <v>46272</v>
      </c>
      <c r="AS5" s="7">
        <f>AR5+1</f>
        <v>46273</v>
      </c>
      <c r="AT5" s="7">
        <f>AS5+1</f>
        <v>46274</v>
      </c>
      <c r="AU5" s="7">
        <f>AT5+1</f>
        <v>46275</v>
      </c>
      <c r="AV5" s="7">
        <f>AU5+1</f>
        <v>46276</v>
      </c>
      <c r="AW5" s="7">
        <f>AV5+1</f>
        <v>46277</v>
      </c>
      <c r="AX5" s="9">
        <f>AW5+1</f>
        <v>46278</v>
      </c>
      <c r="AY5" s="8">
        <f>AX5+1</f>
        <v>46279</v>
      </c>
      <c r="AZ5" s="7">
        <f>AY5+1</f>
        <v>46280</v>
      </c>
      <c r="BA5" s="7">
        <f>AZ5+1</f>
        <v>46281</v>
      </c>
      <c r="BB5" s="7">
        <f>BA5+1</f>
        <v>46282</v>
      </c>
      <c r="BC5" s="7">
        <f>BB5+1</f>
        <v>46283</v>
      </c>
      <c r="BD5" s="7">
        <f>BC5+1</f>
        <v>46284</v>
      </c>
      <c r="BE5" s="9">
        <f>BD5+1</f>
        <v>46285</v>
      </c>
      <c r="BF5" s="8">
        <f>BE5+1</f>
        <v>46286</v>
      </c>
      <c r="BG5" s="7">
        <f>BF5+1</f>
        <v>46287</v>
      </c>
      <c r="BH5" s="7">
        <f>BG5+1</f>
        <v>46288</v>
      </c>
      <c r="BI5" s="7">
        <f>BH5+1</f>
        <v>46289</v>
      </c>
      <c r="BJ5" s="7">
        <f>BI5+1</f>
        <v>46290</v>
      </c>
      <c r="BK5" s="7">
        <f>BJ5+1</f>
        <v>46291</v>
      </c>
      <c r="BL5" s="9">
        <f>BK5+1</f>
        <v>46292</v>
      </c>
      <c r="BM5" s="74"/>
      <c r="BN5" s="74"/>
      <c r="BO5" s="74"/>
      <c r="BP5" s="74"/>
    </row>
    <row r="6" spans="1:68" ht="29.25" customHeight="1" thickBot="1">
      <c r="A6" s="13"/>
      <c r="B6" s="5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/>
      <c r="H6" s="6" t="s">
        <v>11</v>
      </c>
      <c r="I6" s="10" t="str">
        <f>LEFT(TEXT(I5,"ddd"),1)</f>
        <v>M</v>
      </c>
      <c r="J6" s="10" t="str">
        <f>LEFT(TEXT(J5,"ddd"),1)</f>
        <v>T</v>
      </c>
      <c r="K6" s="10" t="str">
        <f>LEFT(TEXT(K5,"ddd"),1)</f>
        <v>W</v>
      </c>
      <c r="L6" s="10" t="str">
        <f>LEFT(TEXT(L5,"ddd"),1)</f>
        <v>T</v>
      </c>
      <c r="M6" s="10" t="str">
        <f>LEFT(TEXT(M5,"ddd"),1)</f>
        <v>F</v>
      </c>
      <c r="N6" s="10" t="str">
        <f>LEFT(TEXT(N5,"ddd"),1)</f>
        <v>S</v>
      </c>
      <c r="O6" s="10" t="str">
        <f>LEFT(TEXT(O5,"ddd"),1)</f>
        <v>S</v>
      </c>
      <c r="P6" s="10" t="str">
        <f>LEFT(TEXT(P5,"ddd"),1)</f>
        <v>M</v>
      </c>
      <c r="Q6" s="10" t="str">
        <f>LEFT(TEXT(Q5,"ddd"),1)</f>
        <v>T</v>
      </c>
      <c r="R6" s="10" t="str">
        <f>LEFT(TEXT(R5,"ddd"),1)</f>
        <v>W</v>
      </c>
      <c r="S6" s="10" t="str">
        <f>LEFT(TEXT(S5,"ddd"),1)</f>
        <v>T</v>
      </c>
      <c r="T6" s="10" t="str">
        <f>LEFT(TEXT(T5,"ddd"),1)</f>
        <v>F</v>
      </c>
      <c r="U6" s="10" t="str">
        <f>LEFT(TEXT(U5,"ddd"),1)</f>
        <v>S</v>
      </c>
      <c r="V6" s="10" t="str">
        <f>LEFT(TEXT(V5,"ddd"),1)</f>
        <v>S</v>
      </c>
      <c r="W6" s="10" t="str">
        <f>LEFT(TEXT(W5,"ddd"),1)</f>
        <v>M</v>
      </c>
      <c r="X6" s="10" t="str">
        <f>LEFT(TEXT(X5,"ddd"),1)</f>
        <v>T</v>
      </c>
      <c r="Y6" s="10" t="str">
        <f>LEFT(TEXT(Y5,"ddd"),1)</f>
        <v>W</v>
      </c>
      <c r="Z6" s="10" t="str">
        <f>LEFT(TEXT(Z5,"ddd"),1)</f>
        <v>T</v>
      </c>
      <c r="AA6" s="10" t="str">
        <f>LEFT(TEXT(AA5,"ddd"),1)</f>
        <v>F</v>
      </c>
      <c r="AB6" s="10" t="str">
        <f>LEFT(TEXT(AB5,"ddd"),1)</f>
        <v>S</v>
      </c>
      <c r="AC6" s="10" t="str">
        <f>LEFT(TEXT(AC5,"ddd"),1)</f>
        <v>S</v>
      </c>
      <c r="AD6" s="10" t="str">
        <f>LEFT(TEXT(AD5,"ddd"),1)</f>
        <v>M</v>
      </c>
      <c r="AE6" s="10" t="str">
        <f>LEFT(TEXT(AE5,"ddd"),1)</f>
        <v>T</v>
      </c>
      <c r="AF6" s="10" t="str">
        <f>LEFT(TEXT(AF5,"ddd"),1)</f>
        <v>W</v>
      </c>
      <c r="AG6" s="10" t="str">
        <f>LEFT(TEXT(AG5,"ddd"),1)</f>
        <v>T</v>
      </c>
      <c r="AH6" s="10" t="str">
        <f>LEFT(TEXT(AH5,"ddd"),1)</f>
        <v>F</v>
      </c>
      <c r="AI6" s="10" t="str">
        <f>LEFT(TEXT(AI5,"ddd"),1)</f>
        <v>S</v>
      </c>
      <c r="AJ6" s="10" t="str">
        <f>LEFT(TEXT(AJ5,"ddd"),1)</f>
        <v>S</v>
      </c>
      <c r="AK6" s="10" t="str">
        <f>LEFT(TEXT(AK5,"ddd"),1)</f>
        <v>M</v>
      </c>
      <c r="AL6" s="10" t="str">
        <f>LEFT(TEXT(AL5,"ddd"),1)</f>
        <v>T</v>
      </c>
      <c r="AM6" s="10" t="str">
        <f>LEFT(TEXT(AM5,"ddd"),1)</f>
        <v>W</v>
      </c>
      <c r="AN6" s="10" t="str">
        <f>LEFT(TEXT(AN5,"ddd"),1)</f>
        <v>T</v>
      </c>
      <c r="AO6" s="10" t="str">
        <f>LEFT(TEXT(AO5,"ddd"),1)</f>
        <v>F</v>
      </c>
      <c r="AP6" s="10" t="str">
        <f>LEFT(TEXT(AP5,"ddd"),1)</f>
        <v>S</v>
      </c>
      <c r="AQ6" s="10" t="str">
        <f>LEFT(TEXT(AQ5,"ddd"),1)</f>
        <v>S</v>
      </c>
      <c r="AR6" s="10" t="str">
        <f>LEFT(TEXT(AR5,"ddd"),1)</f>
        <v>M</v>
      </c>
      <c r="AS6" s="10" t="str">
        <f>LEFT(TEXT(AS5,"ddd"),1)</f>
        <v>T</v>
      </c>
      <c r="AT6" s="10" t="str">
        <f>LEFT(TEXT(AT5,"ddd"),1)</f>
        <v>W</v>
      </c>
      <c r="AU6" s="10" t="str">
        <f>LEFT(TEXT(AU5,"ddd"),1)</f>
        <v>T</v>
      </c>
      <c r="AV6" s="10" t="str">
        <f>LEFT(TEXT(AV5,"ddd"),1)</f>
        <v>F</v>
      </c>
      <c r="AW6" s="10" t="str">
        <f>LEFT(TEXT(AW5,"ddd"),1)</f>
        <v>S</v>
      </c>
      <c r="AX6" s="10" t="str">
        <f>LEFT(TEXT(AX5,"ddd"),1)</f>
        <v>S</v>
      </c>
      <c r="AY6" s="10" t="str">
        <f>LEFT(TEXT(AY5,"ddd"),1)</f>
        <v>M</v>
      </c>
      <c r="AZ6" s="10" t="str">
        <f>LEFT(TEXT(AZ5,"ddd"),1)</f>
        <v>T</v>
      </c>
      <c r="BA6" s="10" t="str">
        <f>LEFT(TEXT(BA5,"ddd"),1)</f>
        <v>W</v>
      </c>
      <c r="BB6" s="10" t="str">
        <f>LEFT(TEXT(BB5,"ddd"),1)</f>
        <v>T</v>
      </c>
      <c r="BC6" s="10" t="str">
        <f>LEFT(TEXT(BC5,"ddd"),1)</f>
        <v>F</v>
      </c>
      <c r="BD6" s="10" t="str">
        <f>LEFT(TEXT(BD5,"ddd"),1)</f>
        <v>S</v>
      </c>
      <c r="BE6" s="10" t="str">
        <f>LEFT(TEXT(BE5,"ddd"),1)</f>
        <v>S</v>
      </c>
      <c r="BF6" s="10" t="str">
        <f>LEFT(TEXT(BF5,"ddd"),1)</f>
        <v>M</v>
      </c>
      <c r="BG6" s="10" t="str">
        <f>LEFT(TEXT(BG5,"ddd"),1)</f>
        <v>T</v>
      </c>
      <c r="BH6" s="10" t="str">
        <f>LEFT(TEXT(BH5,"ddd"),1)</f>
        <v>W</v>
      </c>
      <c r="BI6" s="10" t="str">
        <f>LEFT(TEXT(BI5,"ddd"),1)</f>
        <v>T</v>
      </c>
      <c r="BJ6" s="10" t="str">
        <f>LEFT(TEXT(BJ5,"ddd"),1)</f>
        <v>F</v>
      </c>
      <c r="BK6" s="10" t="str">
        <f>LEFT(TEXT(BK5,"ddd"),1)</f>
        <v>S</v>
      </c>
      <c r="BL6" s="10" t="str">
        <f>LEFT(TEXT(BL5,"ddd"),1)</f>
        <v>S</v>
      </c>
      <c r="BM6" s="74"/>
      <c r="BN6" s="74"/>
      <c r="BO6" s="74"/>
      <c r="BP6" s="74"/>
    </row>
    <row r="7" spans="1:68" s="1" customFormat="1" ht="21.75" customHeight="1" thickBot="1">
      <c r="A7" s="13"/>
      <c r="B7" s="14"/>
      <c r="C7" s="15"/>
      <c r="D7" s="16"/>
      <c r="E7" s="17"/>
      <c r="F7" s="18"/>
      <c r="G7" s="19"/>
      <c r="H7" s="19" t="str">
        <f ca="1">IF(OR(ISBLANK(task_start),ISBLANK(task_end)),"",task_end-task_start+1)</f>
        <v/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</row>
    <row r="8" spans="1:68" s="1" customFormat="1" ht="21.75" customHeight="1" thickBot="1">
      <c r="A8" s="13"/>
      <c r="B8" s="64" t="s">
        <v>12</v>
      </c>
      <c r="C8" s="64"/>
      <c r="D8" s="20"/>
      <c r="E8" s="21"/>
      <c r="F8" s="22"/>
      <c r="G8" s="19"/>
      <c r="H8" s="19" t="str">
        <f ca="1">IF(OR(ISBLANK(task_start),ISBLANK(task_end)),"",task_end-task_start+1)</f>
        <v/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</row>
    <row r="9" spans="1:68" s="1" customFormat="1" ht="21.75" customHeight="1" thickBot="1">
      <c r="A9" s="13"/>
      <c r="B9" s="65" t="s">
        <v>13</v>
      </c>
      <c r="C9" s="65" t="s">
        <v>14</v>
      </c>
      <c r="D9" s="23">
        <v>1</v>
      </c>
      <c r="E9" s="24">
        <v>46237</v>
      </c>
      <c r="F9" s="25">
        <v>46242</v>
      </c>
      <c r="G9" s="19"/>
      <c r="H9" s="19">
        <f ca="1">IF(OR(ISBLANK(task_start),ISBLANK(task_end)),"",task_end-task_start+1)</f>
        <v>6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</row>
    <row r="10" spans="1:68" s="1" customFormat="1" ht="21.75" customHeight="1">
      <c r="A10" s="13"/>
      <c r="B10" s="65" t="s">
        <v>15</v>
      </c>
      <c r="C10" s="65" t="s">
        <v>16</v>
      </c>
      <c r="D10" s="23">
        <v>1</v>
      </c>
      <c r="E10" s="24">
        <v>46237</v>
      </c>
      <c r="F10" s="25">
        <v>46245</v>
      </c>
      <c r="G10" s="19"/>
      <c r="H10" s="19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</row>
    <row r="11" spans="1:68" s="1" customFormat="1" ht="21.75" customHeight="1" thickBot="1">
      <c r="A11" s="13"/>
      <c r="B11" s="65" t="s">
        <v>17</v>
      </c>
      <c r="C11" s="65" t="s">
        <v>16</v>
      </c>
      <c r="D11" s="23">
        <v>1</v>
      </c>
      <c r="E11" s="24">
        <v>46241</v>
      </c>
      <c r="F11" s="25">
        <v>46247</v>
      </c>
      <c r="G11" s="19"/>
      <c r="H11" s="19">
        <f ca="1">IF(OR(ISBLANK(task_start),ISBLANK(task_end)),"",task_end-task_start+1)</f>
        <v>7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7"/>
      <c r="V11" s="57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</row>
    <row r="12" spans="1:68" s="1" customFormat="1" ht="21.75" customHeight="1" thickBot="1">
      <c r="A12" s="13"/>
      <c r="B12" s="65" t="s">
        <v>18</v>
      </c>
      <c r="C12" s="65" t="s">
        <v>14</v>
      </c>
      <c r="D12" s="23">
        <v>1</v>
      </c>
      <c r="E12" s="24">
        <v>46244</v>
      </c>
      <c r="F12" s="25">
        <v>46249</v>
      </c>
      <c r="G12" s="19"/>
      <c r="H12" s="19">
        <f ca="1">IF(OR(ISBLANK(task_start),ISBLANK(task_end)),"",task_end-task_start+1)</f>
        <v>6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</row>
    <row r="13" spans="1:68" s="1" customFormat="1" ht="21.75" customHeight="1" thickBot="1">
      <c r="A13" s="13"/>
      <c r="B13" s="66" t="s">
        <v>19</v>
      </c>
      <c r="C13" s="66"/>
      <c r="D13" s="26"/>
      <c r="E13" s="27"/>
      <c r="F13" s="28"/>
      <c r="G13" s="19"/>
      <c r="H13" s="19" t="str">
        <f ca="1">IF(OR(ISBLANK(task_start),ISBLANK(task_end)),"",task_end-task_start+1)</f>
        <v/>
      </c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</row>
    <row r="14" spans="1:68" s="1" customFormat="1" ht="21.75" customHeight="1" thickBot="1">
      <c r="A14" s="13"/>
      <c r="B14" s="67" t="s">
        <v>20</v>
      </c>
      <c r="C14" s="67" t="s">
        <v>21</v>
      </c>
      <c r="D14" s="29">
        <v>1</v>
      </c>
      <c r="E14" s="30">
        <v>46244</v>
      </c>
      <c r="F14" s="31">
        <v>46249</v>
      </c>
      <c r="G14" s="19"/>
      <c r="H14" s="19">
        <f ca="1">IF(OR(ISBLANK(task_start),ISBLANK(task_end)),"",task_end-task_start+1)</f>
        <v>6</v>
      </c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</row>
    <row r="15" spans="1:68" s="1" customFormat="1" ht="21.75" customHeight="1">
      <c r="A15" s="13"/>
      <c r="B15" s="67" t="s">
        <v>22</v>
      </c>
      <c r="C15" s="67" t="s">
        <v>21</v>
      </c>
      <c r="D15" s="29">
        <v>1</v>
      </c>
      <c r="E15" s="30">
        <v>46245</v>
      </c>
      <c r="F15" s="31">
        <v>46247</v>
      </c>
      <c r="G15" s="19"/>
      <c r="H15" s="19">
        <f ca="1">IF(OR(ISBLANK(task_start),ISBLANK(task_end)),"",task_end-task_start+1)</f>
        <v>3</v>
      </c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7"/>
      <c r="V15" s="57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</row>
    <row r="16" spans="1:68" s="1" customFormat="1" ht="21.75" customHeight="1">
      <c r="A16" s="13"/>
      <c r="B16" s="67" t="s">
        <v>23</v>
      </c>
      <c r="C16" s="67" t="s">
        <v>14</v>
      </c>
      <c r="D16" s="29">
        <v>1</v>
      </c>
      <c r="E16" s="30">
        <v>46246</v>
      </c>
      <c r="F16" s="31">
        <v>46247</v>
      </c>
      <c r="G16" s="19"/>
      <c r="H16" s="19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7"/>
      <c r="V16" s="57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</row>
    <row r="17" spans="1:64" s="1" customFormat="1" ht="21.75" customHeight="1">
      <c r="A17" s="13"/>
      <c r="B17" s="67" t="s">
        <v>24</v>
      </c>
      <c r="C17" s="67" t="s">
        <v>21</v>
      </c>
      <c r="D17" s="29">
        <v>1</v>
      </c>
      <c r="E17" s="30">
        <v>46248</v>
      </c>
      <c r="F17" s="31">
        <v>46249</v>
      </c>
      <c r="G17" s="19"/>
      <c r="H17" s="19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7"/>
      <c r="V17" s="57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</row>
    <row r="18" spans="1:64" s="1" customFormat="1" ht="21.75" customHeight="1">
      <c r="A18" s="13"/>
      <c r="B18" s="67" t="s">
        <v>25</v>
      </c>
      <c r="C18" s="67" t="s">
        <v>21</v>
      </c>
      <c r="D18" s="29">
        <v>1</v>
      </c>
      <c r="E18" s="30">
        <v>46272</v>
      </c>
      <c r="F18" s="31">
        <v>46273</v>
      </c>
      <c r="G18" s="19"/>
      <c r="H18" s="19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7"/>
      <c r="V18" s="57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</row>
    <row r="19" spans="1:64" s="1" customFormat="1" ht="21.75" customHeight="1">
      <c r="A19" s="13"/>
      <c r="B19" s="67" t="s">
        <v>26</v>
      </c>
      <c r="C19" s="67" t="s">
        <v>14</v>
      </c>
      <c r="D19" s="29">
        <v>1</v>
      </c>
      <c r="E19" s="30">
        <v>46274</v>
      </c>
      <c r="F19" s="31">
        <v>46275</v>
      </c>
      <c r="G19" s="19"/>
      <c r="H19" s="19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7"/>
      <c r="V19" s="57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</row>
    <row r="20" spans="1:64" s="1" customFormat="1" ht="21.75" customHeight="1">
      <c r="A20" s="13"/>
      <c r="B20" s="68" t="s">
        <v>27</v>
      </c>
      <c r="C20" s="68"/>
      <c r="D20" s="32"/>
      <c r="E20" s="33"/>
      <c r="F20" s="34"/>
      <c r="G20" s="19"/>
      <c r="H20" s="19" t="str">
        <f ca="1">IF(OR(ISBLANK(task_start),ISBLANK(task_end)),"",task_end-task_start+1)</f>
        <v/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</row>
    <row r="21" spans="1:64" s="1" customFormat="1" ht="21.75" customHeight="1" thickBot="1">
      <c r="A21" s="13"/>
      <c r="B21" s="69" t="s">
        <v>28</v>
      </c>
      <c r="C21" s="69" t="s">
        <v>14</v>
      </c>
      <c r="D21" s="35">
        <v>1</v>
      </c>
      <c r="E21" s="36">
        <v>46246</v>
      </c>
      <c r="F21" s="37">
        <v>46249</v>
      </c>
      <c r="G21" s="19"/>
      <c r="H21" s="19">
        <f ca="1">IF(OR(ISBLANK(task_start),ISBLANK(task_end)),"",task_end-task_start+1)</f>
        <v>4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</row>
    <row r="22" spans="1:64" s="1" customFormat="1" ht="21.75" customHeight="1" thickBot="1">
      <c r="A22" s="13"/>
      <c r="B22" s="69" t="s">
        <v>29</v>
      </c>
      <c r="C22" s="69" t="s">
        <v>21</v>
      </c>
      <c r="D22" s="35">
        <v>1</v>
      </c>
      <c r="E22" s="36">
        <v>46250</v>
      </c>
      <c r="F22" s="37">
        <v>46253</v>
      </c>
      <c r="G22" s="19"/>
      <c r="H22" s="19">
        <f ca="1">IF(OR(ISBLANK(task_start),ISBLANK(task_end)),"",task_end-task_start+1)</f>
        <v>4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</row>
    <row r="23" spans="1:64" s="1" customFormat="1" ht="21.75" customHeight="1" thickBot="1">
      <c r="A23" s="13"/>
      <c r="B23" s="69" t="s">
        <v>30</v>
      </c>
      <c r="C23" s="69" t="s">
        <v>21</v>
      </c>
      <c r="D23" s="35">
        <v>1</v>
      </c>
      <c r="E23" s="36">
        <v>46253</v>
      </c>
      <c r="F23" s="37">
        <v>46255</v>
      </c>
      <c r="G23" s="19"/>
      <c r="H23" s="19">
        <f ca="1">IF(OR(ISBLANK(task_start),ISBLANK(task_end)),"",task_end-task_start+1)</f>
        <v>3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</row>
    <row r="24" spans="1:64" s="1" customFormat="1" ht="21.75" customHeight="1" thickBot="1">
      <c r="A24" s="13"/>
      <c r="B24" s="69" t="s">
        <v>31</v>
      </c>
      <c r="C24" s="69" t="s">
        <v>21</v>
      </c>
      <c r="D24" s="35">
        <v>1</v>
      </c>
      <c r="E24" s="36">
        <v>46256</v>
      </c>
      <c r="F24" s="37">
        <v>46259</v>
      </c>
      <c r="G24" s="19"/>
      <c r="H24" s="19">
        <f ca="1">IF(OR(ISBLANK(task_start),ISBLANK(task_end)),"",task_end-task_start+1)</f>
        <v>4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</row>
    <row r="25" spans="1:64" s="1" customFormat="1" ht="21.75" customHeight="1" thickBot="1">
      <c r="A25" s="13"/>
      <c r="B25" s="70" t="s">
        <v>32</v>
      </c>
      <c r="C25" s="70"/>
      <c r="D25" s="38"/>
      <c r="E25" s="39"/>
      <c r="F25" s="40"/>
      <c r="G25" s="19"/>
      <c r="H25" s="19" t="str">
        <f ca="1">IF(OR(ISBLANK(task_start),ISBLANK(task_end)),"",task_end-task_start+1)</f>
        <v/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</row>
    <row r="26" spans="1:64" s="1" customFormat="1" ht="21.75" customHeight="1" thickBot="1">
      <c r="A26" s="13"/>
      <c r="B26" s="71" t="s">
        <v>33</v>
      </c>
      <c r="C26" s="71" t="s">
        <v>14</v>
      </c>
      <c r="D26" s="41">
        <v>0.8</v>
      </c>
      <c r="E26" s="42">
        <v>46261</v>
      </c>
      <c r="F26" s="43">
        <v>46262</v>
      </c>
      <c r="G26" s="19"/>
      <c r="H26" s="19">
        <f ca="1">IF(OR(ISBLANK(task_start),ISBLANK(task_end)),"",task_end-task_start+1)</f>
        <v>2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</row>
    <row r="27" spans="1:64" s="1" customFormat="1" ht="21.75" customHeight="1" thickBot="1">
      <c r="A27" s="13"/>
      <c r="B27" s="71" t="s">
        <v>34</v>
      </c>
      <c r="C27" s="71" t="s">
        <v>14</v>
      </c>
      <c r="D27" s="41">
        <v>0.8</v>
      </c>
      <c r="E27" s="42">
        <v>46264</v>
      </c>
      <c r="F27" s="43">
        <v>46268</v>
      </c>
      <c r="G27" s="19"/>
      <c r="H27" s="19">
        <f ca="1">IF(OR(ISBLANK(task_start),ISBLANK(task_end)),"",task_end-task_start+1)</f>
        <v>5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</row>
    <row r="28" spans="1:64" s="1" customFormat="1" ht="21.75" customHeight="1" thickBot="1">
      <c r="A28" s="13"/>
      <c r="B28" s="71" t="s">
        <v>35</v>
      </c>
      <c r="C28" s="71" t="s">
        <v>14</v>
      </c>
      <c r="D28" s="41">
        <v>0.5</v>
      </c>
      <c r="E28" s="42">
        <v>46279</v>
      </c>
      <c r="F28" s="43">
        <v>46286</v>
      </c>
      <c r="G28" s="19"/>
      <c r="H28" s="19">
        <f ca="1">IF(OR(ISBLANK(task_start),ISBLANK(task_end)),"",task_end-task_start+1)</f>
        <v>8</v>
      </c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64" s="1" customFormat="1" ht="21.75" customHeight="1" thickBot="1">
      <c r="A29" s="13"/>
      <c r="B29" s="71" t="s">
        <v>36</v>
      </c>
      <c r="C29" s="71" t="s">
        <v>14</v>
      </c>
      <c r="D29" s="41">
        <v>1</v>
      </c>
      <c r="E29" s="42">
        <v>46270</v>
      </c>
      <c r="F29" s="43">
        <v>46272</v>
      </c>
      <c r="G29" s="19"/>
      <c r="H29" s="19">
        <f ca="1">IF(OR(ISBLANK(task_start),ISBLANK(task_end)),"",task_end-task_start+1)</f>
        <v>3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</row>
    <row r="30" spans="1:64" s="1" customFormat="1" ht="21.75" customHeight="1" thickBot="1">
      <c r="A30" s="13"/>
      <c r="B30" s="71" t="s">
        <v>37</v>
      </c>
      <c r="C30" s="71" t="s">
        <v>14</v>
      </c>
      <c r="D30" s="41">
        <v>0.4</v>
      </c>
      <c r="E30" s="42">
        <v>46302</v>
      </c>
      <c r="F30" s="43">
        <v>46308</v>
      </c>
      <c r="G30" s="19"/>
      <c r="H30" s="19">
        <f ca="1">IF(OR(ISBLANK(task_start),ISBLANK(task_end)),"",task_end-task_start+1)</f>
        <v>7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</row>
    <row r="31" spans="1:64" s="1" customFormat="1" ht="21.75" customHeight="1" thickBot="1">
      <c r="A31" s="13"/>
      <c r="B31" s="72" t="s">
        <v>38</v>
      </c>
      <c r="C31" s="72"/>
      <c r="D31" s="44"/>
      <c r="E31" s="45"/>
      <c r="F31" s="46"/>
      <c r="G31" s="19"/>
      <c r="H31" s="19" t="str">
        <f ca="1">IF(OR(ISBLANK(task_start),ISBLANK(task_end)),"",task_end-task_start+1)</f>
        <v/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</row>
    <row r="32" spans="1:64" s="1" customFormat="1" ht="21.75" customHeight="1" thickBot="1">
      <c r="A32" s="13"/>
      <c r="B32" s="73" t="s">
        <v>39</v>
      </c>
      <c r="C32" s="73" t="s">
        <v>14</v>
      </c>
      <c r="D32" s="47">
        <v>0.6</v>
      </c>
      <c r="E32" s="48">
        <v>46247</v>
      </c>
      <c r="F32" s="49">
        <v>46249</v>
      </c>
      <c r="G32" s="19"/>
      <c r="H32" s="19">
        <f ca="1">IF(OR(ISBLANK(task_start),ISBLANK(task_end)),"",task_end-task_start+1)</f>
        <v>3</v>
      </c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</row>
    <row r="33" spans="1:68" s="1" customFormat="1" ht="21.75" customHeight="1" thickBot="1">
      <c r="A33" s="13"/>
      <c r="B33" s="73" t="s">
        <v>40</v>
      </c>
      <c r="C33" s="73" t="s">
        <v>16</v>
      </c>
      <c r="D33" s="47">
        <v>0.8</v>
      </c>
      <c r="E33" s="48">
        <v>46268</v>
      </c>
      <c r="F33" s="49">
        <v>46270</v>
      </c>
      <c r="G33" s="19"/>
      <c r="H33" s="19">
        <f ca="1">IF(OR(ISBLANK(task_start),ISBLANK(task_end)),"",task_end-task_start+1)</f>
        <v>3</v>
      </c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</row>
    <row r="34" spans="1:68" s="1" customFormat="1" ht="21.75" customHeight="1" thickBot="1">
      <c r="A34" s="13"/>
      <c r="B34" s="73" t="s">
        <v>41</v>
      </c>
      <c r="C34" s="73" t="s">
        <v>21</v>
      </c>
      <c r="D34" s="47">
        <v>0.9</v>
      </c>
      <c r="E34" s="48">
        <v>46274</v>
      </c>
      <c r="F34" s="48">
        <v>46274</v>
      </c>
      <c r="G34" s="19"/>
      <c r="H34" s="19">
        <f ca="1">IF(OR(ISBLANK(task_start),ISBLANK(task_end)),"",task_end-task_start+1)</f>
        <v>1</v>
      </c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68" s="1" customFormat="1" ht="21.75" customHeight="1" thickBot="1">
      <c r="A35" s="13"/>
      <c r="B35" s="73" t="s">
        <v>42</v>
      </c>
      <c r="C35" s="73" t="s">
        <v>16</v>
      </c>
      <c r="D35" s="47">
        <v>1</v>
      </c>
      <c r="E35" s="48">
        <v>46237</v>
      </c>
      <c r="F35" s="49">
        <v>46278</v>
      </c>
      <c r="G35" s="19"/>
      <c r="H35" s="19">
        <f ca="1">IF(OR(ISBLANK(task_start),ISBLANK(task_end)),"",task_end-task_start+1)</f>
        <v>42</v>
      </c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</row>
    <row r="36" spans="1:68" s="1" customFormat="1" ht="21.75" customHeight="1" thickBot="1">
      <c r="A36" s="13"/>
      <c r="B36" s="14"/>
      <c r="C36" s="15"/>
      <c r="D36" s="16"/>
      <c r="E36" s="17"/>
      <c r="F36" s="18"/>
      <c r="G36" s="19"/>
      <c r="H36" s="19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</row>
    <row r="37" spans="1:68" s="1" customFormat="1" ht="21.75" customHeight="1" thickBot="1">
      <c r="A37" s="13"/>
      <c r="B37" s="14"/>
      <c r="C37" s="15"/>
      <c r="D37" s="16"/>
      <c r="E37" s="17"/>
      <c r="F37" s="18"/>
      <c r="G37" s="19"/>
      <c r="H37" s="19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68" s="1" customFormat="1" ht="21.75" customHeight="1" thickBot="1">
      <c r="A38" s="13"/>
      <c r="B38" s="14"/>
      <c r="C38" s="15"/>
      <c r="D38" s="16"/>
      <c r="E38" s="17"/>
      <c r="F38" s="18"/>
      <c r="G38" s="19"/>
      <c r="H38" s="1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</row>
    <row r="39" spans="1:68" s="1" customFormat="1" ht="21.75" customHeight="1" thickBot="1">
      <c r="A39" s="13"/>
      <c r="B39" s="50"/>
      <c r="C39" s="51"/>
      <c r="D39" s="52"/>
      <c r="E39" s="53"/>
      <c r="F39" s="54"/>
      <c r="G39" s="55"/>
      <c r="H39" s="55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spans="1:68">
      <c r="A40" s="2"/>
      <c r="E40" s="76"/>
      <c r="G40" s="2"/>
      <c r="BM40" s="74"/>
      <c r="BN40" s="74"/>
      <c r="BO40" s="74"/>
      <c r="BP40" s="74"/>
    </row>
    <row r="41" spans="1:68">
      <c r="B41" s="11"/>
      <c r="C41" s="11"/>
      <c r="E41" s="76"/>
      <c r="F41" s="59"/>
      <c r="BM41" s="74"/>
      <c r="BN41" s="74"/>
      <c r="BO41" s="74"/>
      <c r="BP41" s="74"/>
    </row>
    <row r="42" spans="1:68">
      <c r="B42" s="61"/>
      <c r="C42" s="12"/>
      <c r="E42" s="76"/>
      <c r="BM42" s="74"/>
      <c r="BN42" s="74"/>
      <c r="BO42" s="74"/>
      <c r="BP42" s="74"/>
    </row>
    <row r="43" spans="1:68">
      <c r="B43" s="60"/>
      <c r="E43" s="76"/>
      <c r="BM43" s="74"/>
      <c r="BN43" s="74"/>
      <c r="BO43" s="74"/>
      <c r="BP43" s="74"/>
    </row>
    <row r="44" spans="1:68" ht="15">
      <c r="E44" s="76"/>
      <c r="BM44" s="74"/>
      <c r="BN44" s="74"/>
      <c r="BO44" s="74"/>
      <c r="BP44" s="74"/>
    </row>
    <row r="45" spans="1:68" ht="15">
      <c r="E45" s="76"/>
      <c r="BM45" s="74"/>
      <c r="BN45" s="74"/>
      <c r="BO45" s="74"/>
      <c r="BP45" s="74"/>
    </row>
    <row r="46" spans="1:68" ht="15">
      <c r="E46" s="76"/>
      <c r="BM46" s="74"/>
      <c r="BN46" s="74"/>
      <c r="BO46" s="74"/>
      <c r="BP46" s="74"/>
    </row>
    <row r="47" spans="1:68" ht="15">
      <c r="E47" s="76"/>
      <c r="BM47" s="74"/>
      <c r="BN47" s="74"/>
      <c r="BO47" s="74"/>
      <c r="BP47" s="74"/>
    </row>
    <row r="48" spans="1:68" ht="15">
      <c r="E48" s="76"/>
      <c r="BM48" s="74"/>
      <c r="BN48" s="74"/>
      <c r="BO48" s="74"/>
      <c r="BP48" s="74"/>
    </row>
    <row r="49" spans="5:68">
      <c r="E49" s="76"/>
      <c r="BM49" s="74"/>
      <c r="BN49" s="74"/>
      <c r="BO49" s="74"/>
      <c r="BP49" s="74"/>
    </row>
    <row r="50" spans="5:68">
      <c r="E50" s="76"/>
      <c r="BM50" s="74"/>
      <c r="BN50" s="74"/>
      <c r="BO50" s="74"/>
      <c r="BP50" s="74"/>
    </row>
  </sheetData>
  <mergeCells count="11">
    <mergeCell ref="AY4:BE4"/>
    <mergeCell ref="I4:O4"/>
    <mergeCell ref="BF4:BL4"/>
    <mergeCell ref="E3:F3"/>
    <mergeCell ref="AK4:AQ4"/>
    <mergeCell ref="B1:H1"/>
    <mergeCell ref="W4:AC4"/>
    <mergeCell ref="AD4:AJ4"/>
    <mergeCell ref="AR4:AX4"/>
    <mergeCell ref="E2:F2"/>
    <mergeCell ref="P4:V4"/>
  </mergeCells>
  <conditionalFormatting sqref="D7:D39">
    <cfRule type="dataBar" priority="12">
      <dataBar>
        <cfvo type="num" val="0"/>
        <cfvo type="num" val="1"/>
        <color theme="0" tint="-0.249977111117893"/>
      </dataBar>
    </cfRule>
  </conditionalFormatting>
  <conditionalFormatting sqref="I5:BL39">
    <cfRule type="expression" dxfId="2" priority="27">
      <formula>AND(today&gt;=I$5,today&lt;I$5+1)</formula>
    </cfRule>
  </conditionalFormatting>
  <conditionalFormatting sqref="I7:BL39">
    <cfRule type="expression" dxfId="1" priority="25">
      <formula>AND(task_start&lt;=I$5,ROUNDDOWN((task_end-task_start+1)*task_progress,0)+task_start-1&gt;=I$5)</formula>
    </cfRule>
    <cfRule type="expression" dxfId="0" priority="26" stopIfTrue="1">
      <formula>AND(task_end&gt;=I$5,task_start&lt;I$5+1)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E4" xr:uid="{00000000-0002-0000-0000-000000000000}">
      <formula1>1</formula1>
    </dataValidation>
  </dataValidations>
  <pageMargins left="0.35" right="0.35" top="0.35" bottom="0.5" header="0.3" footer="0.3"/>
  <pageSetup scale="62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subject/>
  <dc:creator>Vertex42.com</dc:creator>
  <cp:keywords/>
  <dc:description>© 2018-2019 Vertex42 LLC. All Rights Reserved.</dc:description>
  <cp:lastModifiedBy>Amit Bishnoi</cp:lastModifiedBy>
  <cp:revision/>
  <dcterms:created xsi:type="dcterms:W3CDTF">2017-01-09T18:01:51Z</dcterms:created>
  <dcterms:modified xsi:type="dcterms:W3CDTF">2026-09-13T18:47:13Z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</Properties>
</file>